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45" windowWidth="11355" windowHeight="7935"/>
  </bookViews>
  <sheets>
    <sheet name="Biorhythyms" sheetId="1" r:id="rId1"/>
  </sheets>
  <definedNames>
    <definedName name="_xlnm._FilterDatabase" localSheetId="0" hidden="1">Biorhythyms!$A$2:$D$36</definedName>
  </definedNames>
  <calcPr calcId="145621"/>
</workbook>
</file>

<file path=xl/calcChain.xml><?xml version="1.0" encoding="utf-8"?>
<calcChain xmlns="http://schemas.openxmlformats.org/spreadsheetml/2006/main">
  <c r="A4" i="1" l="1"/>
  <c r="A5" i="1" s="1"/>
  <c r="C4" i="1"/>
  <c r="D3" i="1"/>
  <c r="C3" i="1"/>
  <c r="B4" i="1"/>
  <c r="B3" i="1"/>
  <c r="D5" i="1" l="1"/>
  <c r="B5" i="1"/>
  <c r="A6" i="1"/>
  <c r="C5" i="1"/>
  <c r="D4" i="1"/>
  <c r="A7" i="1" l="1"/>
  <c r="D6" i="1"/>
  <c r="C6" i="1"/>
  <c r="B6" i="1"/>
  <c r="D7" i="1" l="1"/>
  <c r="B7" i="1"/>
  <c r="A8" i="1"/>
  <c r="C7" i="1"/>
  <c r="A9" i="1" l="1"/>
  <c r="D8" i="1"/>
  <c r="C8" i="1"/>
  <c r="B8" i="1"/>
  <c r="D9" i="1" l="1"/>
  <c r="B9" i="1"/>
  <c r="A10" i="1"/>
  <c r="C9" i="1"/>
  <c r="A11" i="1" l="1"/>
  <c r="D10" i="1"/>
  <c r="C10" i="1"/>
  <c r="B10" i="1"/>
  <c r="D11" i="1" l="1"/>
  <c r="B11" i="1"/>
  <c r="A12" i="1"/>
  <c r="C11" i="1"/>
  <c r="A13" i="1" l="1"/>
  <c r="D12" i="1"/>
  <c r="C12" i="1"/>
  <c r="B12" i="1"/>
  <c r="D13" i="1" l="1"/>
  <c r="B13" i="1"/>
  <c r="A14" i="1"/>
  <c r="C13" i="1"/>
  <c r="A15" i="1" l="1"/>
  <c r="D14" i="1"/>
  <c r="C14" i="1"/>
  <c r="B14" i="1"/>
  <c r="D15" i="1" l="1"/>
  <c r="B15" i="1"/>
  <c r="A16" i="1"/>
  <c r="C15" i="1"/>
  <c r="A17" i="1" l="1"/>
  <c r="D16" i="1"/>
  <c r="C16" i="1"/>
  <c r="B16" i="1"/>
  <c r="D17" i="1" l="1"/>
  <c r="B17" i="1"/>
  <c r="A18" i="1"/>
  <c r="C17" i="1"/>
  <c r="A19" i="1" l="1"/>
  <c r="D18" i="1"/>
  <c r="C18" i="1"/>
  <c r="B18" i="1"/>
  <c r="D19" i="1" l="1"/>
  <c r="B19" i="1"/>
  <c r="A20" i="1"/>
  <c r="C19" i="1"/>
  <c r="A21" i="1" l="1"/>
  <c r="D20" i="1"/>
  <c r="B20" i="1"/>
  <c r="C20" i="1"/>
  <c r="D21" i="1" l="1"/>
  <c r="B21" i="1"/>
  <c r="A22" i="1"/>
  <c r="C21" i="1"/>
  <c r="A23" i="1" l="1"/>
  <c r="D22" i="1"/>
  <c r="C22" i="1"/>
  <c r="B22" i="1"/>
  <c r="D23" i="1" l="1"/>
  <c r="B23" i="1"/>
  <c r="A24" i="1"/>
  <c r="C23" i="1"/>
  <c r="A25" i="1" l="1"/>
  <c r="D24" i="1"/>
  <c r="C24" i="1"/>
  <c r="B24" i="1"/>
  <c r="D25" i="1" l="1"/>
  <c r="B25" i="1"/>
  <c r="A26" i="1"/>
  <c r="C25" i="1"/>
  <c r="A27" i="1" l="1"/>
  <c r="D26" i="1"/>
  <c r="C26" i="1"/>
  <c r="B26" i="1"/>
  <c r="D27" i="1" l="1"/>
  <c r="A28" i="1"/>
  <c r="C27" i="1"/>
  <c r="A29" i="1" l="1"/>
  <c r="D28" i="1"/>
  <c r="C28" i="1"/>
  <c r="D29" i="1" l="1"/>
  <c r="A30" i="1"/>
  <c r="C29" i="1"/>
  <c r="A31" i="1" l="1"/>
  <c r="D30" i="1"/>
  <c r="C30" i="1"/>
  <c r="D31" i="1" l="1"/>
  <c r="A32" i="1"/>
  <c r="C31" i="1"/>
  <c r="A33" i="1" l="1"/>
  <c r="D32" i="1"/>
  <c r="A34" i="1" l="1"/>
  <c r="D33" i="1"/>
  <c r="A35" i="1" l="1"/>
  <c r="D34" i="1"/>
  <c r="A36" i="1" l="1"/>
  <c r="D36" i="1" s="1"/>
  <c r="D35" i="1"/>
</calcChain>
</file>

<file path=xl/sharedStrings.xml><?xml version="1.0" encoding="utf-8"?>
<sst xmlns="http://schemas.openxmlformats.org/spreadsheetml/2006/main" count="14" uniqueCount="14">
  <si>
    <t xml:space="preserve">Physical Cycle </t>
  </si>
  <si>
    <t>Emotional Cycle</t>
  </si>
  <si>
    <t>Intellectual Cycle</t>
  </si>
  <si>
    <t>Birth Date:</t>
  </si>
  <si>
    <t>Name:</t>
  </si>
  <si>
    <t>Age:</t>
  </si>
  <si>
    <t>Cycle Length (Days)</t>
  </si>
  <si>
    <t>Current Day of Cycle</t>
  </si>
  <si>
    <t>Years</t>
  </si>
  <si>
    <t>Months</t>
  </si>
  <si>
    <t>Days</t>
  </si>
  <si>
    <t>Hours</t>
  </si>
  <si>
    <t>Minutes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</si>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</sst>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15" x14ac:knownFonts="1">
    <font>
      <sz val="10"/>
      <name val="Arial"/>
    </font>
    <font>
      <sz val="10"/>
      <name val="Arial"/>
    </font>
    <font>
      <b/>
      <sz val="12"/>
      <color indexed="62"/>
      <name val="Arial"/>
      <family val="2"/>
    </font>
    <font>
      <sz val="8"/>
      <name val="Arial"/>
    </font>
    <font>
      <sz val="12"/>
      <name val="Arial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sz val="12"/>
      <color indexed="18"/>
      <name val="Arial"/>
    </font>
    <font>
      <b/>
      <sz val="12"/>
      <color indexed="57"/>
      <name val="Arial"/>
      <family val="2"/>
    </font>
    <font>
      <b/>
      <sz val="12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165" fontId="4" fillId="0" borderId="0" xfId="0" applyNumberFormat="1" applyFont="1"/>
    <xf numFmtId="0" fontId="5" fillId="0" borderId="0" xfId="0" applyFont="1" applyAlignment="1">
      <alignment horizontal="right"/>
    </xf>
    <xf numFmtId="0" fontId="1" fillId="0" borderId="0" xfId="0" applyFont="1"/>
    <xf numFmtId="0" fontId="6" fillId="2" borderId="1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 wrapText="1"/>
    </xf>
    <xf numFmtId="164" fontId="0" fillId="0" borderId="1" xfId="0" applyNumberFormat="1" applyBorder="1" applyAlignment="1">
      <alignment horizontal="center"/>
    </xf>
    <xf numFmtId="165" fontId="4" fillId="0" borderId="1" xfId="0" applyNumberFormat="1" applyFont="1" applyBorder="1"/>
    <xf numFmtId="165" fontId="4" fillId="3" borderId="2" xfId="0" applyNumberFormat="1" applyFont="1" applyFill="1" applyBorder="1"/>
    <xf numFmtId="0" fontId="0" fillId="3" borderId="3" xfId="0" applyFill="1" applyBorder="1"/>
    <xf numFmtId="165" fontId="4" fillId="3" borderId="4" xfId="0" applyNumberFormat="1" applyFont="1" applyFill="1" applyBorder="1"/>
    <xf numFmtId="0" fontId="0" fillId="3" borderId="5" xfId="0" applyFill="1" applyBorder="1"/>
    <xf numFmtId="165" fontId="4" fillId="3" borderId="6" xfId="0" applyNumberFormat="1" applyFont="1" applyFill="1" applyBorder="1"/>
    <xf numFmtId="0" fontId="0" fillId="3" borderId="7" xfId="0" applyFill="1" applyBorder="1"/>
    <xf numFmtId="165" fontId="10" fillId="0" borderId="0" xfId="0" applyNumberFormat="1" applyFont="1"/>
    <xf numFmtId="0" fontId="9" fillId="2" borderId="8" xfId="0" applyFont="1" applyFill="1" applyBorder="1" applyAlignment="1">
      <alignment horizontal="right"/>
    </xf>
    <xf numFmtId="0" fontId="9" fillId="2" borderId="9" xfId="0" applyFont="1" applyFill="1" applyBorder="1"/>
    <xf numFmtId="0" fontId="9" fillId="2" borderId="9" xfId="0" applyFont="1" applyFill="1" applyBorder="1" applyAlignment="1">
      <alignment horizontal="left"/>
    </xf>
    <xf numFmtId="49" fontId="9" fillId="2" borderId="8" xfId="0" applyNumberFormat="1" applyFont="1" applyFill="1" applyBorder="1" applyAlignment="1">
      <alignment horizontal="right"/>
    </xf>
    <xf numFmtId="165" fontId="11" fillId="0" borderId="1" xfId="0" applyNumberFormat="1" applyFont="1" applyBorder="1"/>
    <xf numFmtId="165" fontId="12" fillId="0" borderId="1" xfId="0" applyNumberFormat="1" applyFont="1" applyBorder="1"/>
    <xf numFmtId="165" fontId="6" fillId="0" borderId="1" xfId="0" applyNumberFormat="1" applyFont="1" applyBorder="1"/>
    <xf numFmtId="0" fontId="8" fillId="2" borderId="1" xfId="0" applyFont="1" applyFill="1" applyBorder="1" applyAlignment="1">
      <alignment horizontal="right"/>
    </xf>
    <xf numFmtId="0" fontId="9" fillId="2" borderId="10" xfId="0" applyFont="1" applyFill="1" applyBorder="1" applyAlignment="1">
      <alignment horizontal="right"/>
    </xf>
    <xf numFmtId="0" fontId="9" fillId="2" borderId="11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wrapText="1"/>
    </xf>
    <xf numFmtId="0" fontId="2" fillId="2" borderId="14" xfId="0" applyFont="1" applyFill="1" applyBorder="1" applyAlignment="1">
      <alignment horizontal="center" wrapText="1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wrapText="1"/>
    </xf>
    <xf numFmtId="0" fontId="2" fillId="2" borderId="17" xfId="0" applyFont="1" applyFill="1" applyBorder="1" applyAlignment="1">
      <alignment horizontal="center" wrapText="1"/>
    </xf>
    <xf numFmtId="0" fontId="5" fillId="0" borderId="18" xfId="0" applyFont="1" applyBorder="1"/>
    <xf numFmtId="0" fontId="13" fillId="0" borderId="18" xfId="0" applyFont="1" applyBorder="1"/>
    <xf numFmtId="0" fontId="14" fillId="0" borderId="18" xfId="0" applyFont="1" applyBorder="1"/>
    <xf numFmtId="0" fontId="7" fillId="0" borderId="18" xfId="0" applyFont="1" applyBorder="1"/>
    <xf numFmtId="0" fontId="5" fillId="0" borderId="1" xfId="0" applyFont="1" applyBorder="1"/>
    <xf numFmtId="0" fontId="13" fillId="0" borderId="1" xfId="0" applyFont="1" applyBorder="1"/>
    <xf numFmtId="0" fontId="14" fillId="0" borderId="1" xfId="0" applyFont="1" applyBorder="1"/>
    <xf numFmtId="0" fontId="7" fillId="0" borderId="1" xfId="0" applyFont="1" applyBorder="1"/>
    <xf numFmtId="164" fontId="5" fillId="0" borderId="1" xfId="0" applyNumberFormat="1" applyFont="1" applyBorder="1" applyAlignment="1">
      <alignment horizontal="right"/>
    </xf>
    <xf numFmtId="0" fontId="9" fillId="2" borderId="19" xfId="0" applyFont="1" applyFill="1" applyBorder="1" applyAlignment="1">
      <alignment horizontal="right"/>
    </xf>
    <xf numFmtId="0" fontId="9" fillId="2" borderId="20" xfId="0" applyFont="1" applyFill="1" applyBorder="1" applyAlignment="1">
      <alignment horizontal="right"/>
    </xf>
    <xf numFmtId="0" fontId="9" fillId="2" borderId="21" xfId="0" applyFont="1" applyFill="1" applyBorder="1"/>
    <xf numFmtId="0" fontId="9" fillId="2" borderId="22" xfId="0" applyFont="1" applyFill="1" applyBorder="1"/>
    <xf numFmtId="0" fontId="9" fillId="2" borderId="23" xfId="0" applyFont="1" applyFill="1" applyBorder="1"/>
    <xf numFmtId="164" fontId="9" fillId="2" borderId="24" xfId="0" applyNumberFormat="1" applyFont="1" applyFill="1" applyBorder="1" applyAlignment="1">
      <alignment horizontal="right"/>
    </xf>
    <xf numFmtId="164" fontId="9" fillId="2" borderId="25" xfId="0" applyNumberFormat="1" applyFont="1" applyFill="1" applyBorder="1" applyAlignment="1">
      <alignment horizontal="right"/>
    </xf>
    <xf numFmtId="0" fontId="9" fillId="2" borderId="25" xfId="0" applyFont="1" applyFill="1" applyBorder="1" applyAlignment="1">
      <alignment horizontal="right"/>
    </xf>
    <xf numFmtId="1" fontId="9" fillId="2" borderId="26" xfId="0" applyNumberFormat="1" applyFont="1" applyFill="1" applyBorder="1" applyAlignment="1">
      <alignment horizontal="right"/>
    </xf>
  </cellXfs>
  <cellStyles count="1">
    <cellStyle name="Normal" xfId="0" builtinId="0"/>
  </cellStyles>
  <dxfs count="2">
    <dxf>
      <font>
        <condense val="0"/>
        <extend val="0"/>
        <color indexed="12"/>
      </font>
      <fill>
        <patternFill>
          <bgColor indexed="22"/>
        </patternFill>
      </fill>
      <border>
        <left style="thin">
          <color indexed="12"/>
        </left>
        <right style="thin">
          <color indexed="12"/>
        </right>
        <top style="thin">
          <color indexed="12"/>
        </top>
        <bottom style="thin">
          <color indexed="12"/>
        </bottom>
      </border>
    </dxf>
    <dxf>
      <font>
        <condense val="0"/>
        <extend val="0"/>
        <color indexed="10"/>
      </font>
      <fill>
        <patternFill>
          <bgColor indexed="22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155487794639644E-2"/>
          <c:y val="6.4516129032258063E-2"/>
          <c:w val="0.86657554763767763"/>
          <c:h val="0.87327188940092171"/>
        </c:manualLayout>
      </c:layout>
      <c:scatterChart>
        <c:scatterStyle val="smoothMarker"/>
        <c:varyColors val="0"/>
        <c:ser>
          <c:idx val="0"/>
          <c:order val="0"/>
          <c:tx>
            <c:v>Physical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Biorhythyms!$B$3:$B$36</c:f>
              <c:numCache>
                <c:formatCode>General</c:formatCode>
                <c:ptCount val="34"/>
                <c:pt idx="0">
                  <c:v>0</c:v>
                </c:pt>
                <c:pt idx="1">
                  <c:v>0.26979677115702427</c:v>
                </c:pt>
                <c:pt idx="2">
                  <c:v>0.51958395003543356</c:v>
                </c:pt>
                <c:pt idx="3">
                  <c:v>0.73083596427812403</c:v>
                </c:pt>
                <c:pt idx="4">
                  <c:v>0.88788521840237522</c:v>
                </c:pt>
                <c:pt idx="5">
                  <c:v>0.9790840876823228</c:v>
                </c:pt>
                <c:pt idx="6">
                  <c:v>0.99766876919053915</c:v>
                </c:pt>
                <c:pt idx="7">
                  <c:v>0.94226092211882051</c:v>
                </c:pt>
                <c:pt idx="8">
                  <c:v>0.81696989301044209</c:v>
                </c:pt>
                <c:pt idx="9">
                  <c:v>0.63108794432605297</c:v>
                </c:pt>
                <c:pt idx="10">
                  <c:v>0.39840108984624178</c:v>
                </c:pt>
                <c:pt idx="11">
                  <c:v>0.13616664909624665</c:v>
                </c:pt>
                <c:pt idx="12">
                  <c:v>-0.1361666490962464</c:v>
                </c:pt>
                <c:pt idx="13">
                  <c:v>-0.39840108984624117</c:v>
                </c:pt>
                <c:pt idx="14">
                  <c:v>-0.63108794432605275</c:v>
                </c:pt>
                <c:pt idx="15">
                  <c:v>-0.81696989301044198</c:v>
                </c:pt>
                <c:pt idx="16">
                  <c:v>-0.9422609221188204</c:v>
                </c:pt>
                <c:pt idx="17">
                  <c:v>-0.99766876919053915</c:v>
                </c:pt>
                <c:pt idx="18">
                  <c:v>-0.97908408768232302</c:v>
                </c:pt>
                <c:pt idx="19">
                  <c:v>-0.88788521840237555</c:v>
                </c:pt>
                <c:pt idx="20">
                  <c:v>-0.73083596427812458</c:v>
                </c:pt>
                <c:pt idx="21">
                  <c:v>-0.51958395003543356</c:v>
                </c:pt>
                <c:pt idx="22">
                  <c:v>-0.26979677115702438</c:v>
                </c:pt>
                <c:pt idx="23">
                  <c:v>-2.45029690981724E-16</c:v>
                </c:pt>
              </c:numCache>
            </c:numRef>
          </c:yVal>
          <c:smooth val="1"/>
        </c:ser>
        <c:ser>
          <c:idx val="1"/>
          <c:order val="1"/>
          <c:tx>
            <c:v>Emotional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Biorhythyms!$C$3:$C$36</c:f>
              <c:numCache>
                <c:formatCode>General</c:formatCode>
                <c:ptCount val="34"/>
                <c:pt idx="0">
                  <c:v>0</c:v>
                </c:pt>
                <c:pt idx="1">
                  <c:v>0.22252093395631439</c:v>
                </c:pt>
                <c:pt idx="2">
                  <c:v>0.43388373911755812</c:v>
                </c:pt>
                <c:pt idx="3">
                  <c:v>0.62348980185873348</c:v>
                </c:pt>
                <c:pt idx="4">
                  <c:v>0.7818314824680298</c:v>
                </c:pt>
                <c:pt idx="5">
                  <c:v>0.90096886790241915</c:v>
                </c:pt>
                <c:pt idx="6">
                  <c:v>0.97492791218182362</c:v>
                </c:pt>
                <c:pt idx="7">
                  <c:v>1</c:v>
                </c:pt>
                <c:pt idx="8">
                  <c:v>0.97492791218182362</c:v>
                </c:pt>
                <c:pt idx="9">
                  <c:v>0.90096886790241915</c:v>
                </c:pt>
                <c:pt idx="10">
                  <c:v>0.78183148246802991</c:v>
                </c:pt>
                <c:pt idx="11">
                  <c:v>0.62348980185873359</c:v>
                </c:pt>
                <c:pt idx="12">
                  <c:v>0.43388373911755823</c:v>
                </c:pt>
                <c:pt idx="13">
                  <c:v>0.2225209339563145</c:v>
                </c:pt>
                <c:pt idx="14">
                  <c:v>1.22514845490862E-16</c:v>
                </c:pt>
                <c:pt idx="15">
                  <c:v>-0.22252093395631428</c:v>
                </c:pt>
                <c:pt idx="16">
                  <c:v>-0.43388373911755801</c:v>
                </c:pt>
                <c:pt idx="17">
                  <c:v>-0.62348980185873337</c:v>
                </c:pt>
                <c:pt idx="18">
                  <c:v>-0.78183148246802969</c:v>
                </c:pt>
                <c:pt idx="19">
                  <c:v>-0.90096886790241903</c:v>
                </c:pt>
                <c:pt idx="20">
                  <c:v>-0.97492791218182362</c:v>
                </c:pt>
                <c:pt idx="21">
                  <c:v>-1</c:v>
                </c:pt>
                <c:pt idx="22">
                  <c:v>-0.97492791218182362</c:v>
                </c:pt>
                <c:pt idx="23">
                  <c:v>-0.90096886790241926</c:v>
                </c:pt>
                <c:pt idx="24">
                  <c:v>-0.78183148246802991</c:v>
                </c:pt>
                <c:pt idx="25">
                  <c:v>-0.62348980185873371</c:v>
                </c:pt>
                <c:pt idx="26">
                  <c:v>-0.43388373911755834</c:v>
                </c:pt>
                <c:pt idx="27">
                  <c:v>-0.22252093395631464</c:v>
                </c:pt>
                <c:pt idx="28">
                  <c:v>-2.45029690981724E-16</c:v>
                </c:pt>
              </c:numCache>
            </c:numRef>
          </c:yVal>
          <c:smooth val="1"/>
        </c:ser>
        <c:ser>
          <c:idx val="2"/>
          <c:order val="2"/>
          <c:tx>
            <c:v>Intellectual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Biorhythyms!$A$3:$A$36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Biorhythyms!$D$3:$D$36</c:f>
              <c:numCache>
                <c:formatCode>General</c:formatCode>
                <c:ptCount val="34"/>
                <c:pt idx="0">
                  <c:v>0</c:v>
                </c:pt>
                <c:pt idx="1">
                  <c:v>0.18925124436041019</c:v>
                </c:pt>
                <c:pt idx="2">
                  <c:v>0.37166245566032752</c:v>
                </c:pt>
                <c:pt idx="3">
                  <c:v>0.54064081745559756</c:v>
                </c:pt>
                <c:pt idx="4">
                  <c:v>0.69007901148211193</c:v>
                </c:pt>
                <c:pt idx="5">
                  <c:v>0.81457595205033562</c:v>
                </c:pt>
                <c:pt idx="6">
                  <c:v>0.90963199535451833</c:v>
                </c:pt>
                <c:pt idx="7">
                  <c:v>0.97181156832354165</c:v>
                </c:pt>
                <c:pt idx="8">
                  <c:v>0.99886733918300796</c:v>
                </c:pt>
                <c:pt idx="9">
                  <c:v>0.9898214418809328</c:v>
                </c:pt>
                <c:pt idx="10">
                  <c:v>0.94500081871466857</c:v>
                </c:pt>
                <c:pt idx="11">
                  <c:v>0.86602540378443871</c:v>
                </c:pt>
                <c:pt idx="12">
                  <c:v>0.75574957435425827</c:v>
                </c:pt>
                <c:pt idx="13">
                  <c:v>0.6181589862206055</c:v>
                </c:pt>
                <c:pt idx="14">
                  <c:v>0.45822652172741052</c:v>
                </c:pt>
                <c:pt idx="15">
                  <c:v>0.28173255684143006</c:v>
                </c:pt>
                <c:pt idx="16">
                  <c:v>9.505604330418288E-2</c:v>
                </c:pt>
                <c:pt idx="17">
                  <c:v>-9.505604330418263E-2</c:v>
                </c:pt>
                <c:pt idx="18">
                  <c:v>-0.28173255684142939</c:v>
                </c:pt>
                <c:pt idx="19">
                  <c:v>-0.4582265217274103</c:v>
                </c:pt>
                <c:pt idx="20">
                  <c:v>-0.61815898622060494</c:v>
                </c:pt>
                <c:pt idx="21">
                  <c:v>-0.75574957435425816</c:v>
                </c:pt>
                <c:pt idx="22">
                  <c:v>-0.86602540378443837</c:v>
                </c:pt>
                <c:pt idx="23">
                  <c:v>-0.94500081871466834</c:v>
                </c:pt>
                <c:pt idx="24">
                  <c:v>-0.98982144188093268</c:v>
                </c:pt>
                <c:pt idx="25">
                  <c:v>-0.99886733918300796</c:v>
                </c:pt>
                <c:pt idx="26">
                  <c:v>-0.97181156832354187</c:v>
                </c:pt>
                <c:pt idx="27">
                  <c:v>-0.90963199535451855</c:v>
                </c:pt>
                <c:pt idx="28">
                  <c:v>-0.81457595205033584</c:v>
                </c:pt>
                <c:pt idx="29">
                  <c:v>-0.69007901148211204</c:v>
                </c:pt>
                <c:pt idx="30">
                  <c:v>-0.54064081745559822</c:v>
                </c:pt>
                <c:pt idx="31">
                  <c:v>-0.37166245566032807</c:v>
                </c:pt>
                <c:pt idx="32">
                  <c:v>-0.18925124436041063</c:v>
                </c:pt>
                <c:pt idx="33">
                  <c:v>-2.45029690981724E-16</c:v>
                </c:pt>
              </c:numCache>
            </c:numRef>
          </c:yVal>
          <c:smooth val="1"/>
        </c:ser>
        <c:ser>
          <c:idx val="3"/>
          <c:order val="3"/>
          <c:tx>
            <c:v>Current (Physical)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Biorhythyms!$A$38</c:f>
              <c:numCache>
                <c:formatCode>0.0</c:formatCode>
                <c:ptCount val="1"/>
              </c:numCache>
            </c:numRef>
          </c:xVal>
          <c:yVal>
            <c:numRef>
              <c:f>Biorhythyms!$B$38</c:f>
              <c:numCache>
                <c:formatCode>0.000</c:formatCode>
                <c:ptCount val="1"/>
              </c:numCache>
            </c:numRef>
          </c:yVal>
          <c:smooth val="1"/>
        </c:ser>
        <c:ser>
          <c:idx val="4"/>
          <c:order val="4"/>
          <c:tx>
            <c:v>Current (Emotional)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Biorhythyms!$A$39</c:f>
              <c:numCache>
                <c:formatCode>0.0</c:formatCode>
                <c:ptCount val="1"/>
              </c:numCache>
            </c:numRef>
          </c:xVal>
          <c:yVal>
            <c:numRef>
              <c:f>Biorhythyms!$C$39</c:f>
              <c:numCache>
                <c:formatCode>0.000</c:formatCode>
                <c:ptCount val="1"/>
              </c:numCache>
            </c:numRef>
          </c:yVal>
          <c:smooth val="1"/>
        </c:ser>
        <c:ser>
          <c:idx val="5"/>
          <c:order val="5"/>
          <c:tx>
            <c:v>Current (Intellectual)</c:v>
          </c:tx>
          <c:spPr>
            <a:ln w="28575">
              <a:noFill/>
            </a:ln>
          </c:spPr>
          <c:marker>
            <c:symbol val="diamond"/>
            <c:size val="1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Biorhythyms!$A$40</c:f>
              <c:numCache>
                <c:formatCode>0.0</c:formatCode>
                <c:ptCount val="1"/>
              </c:numCache>
            </c:numRef>
          </c:xVal>
          <c:yVal>
            <c:numRef>
              <c:f>Biorhythyms!$D$40</c:f>
              <c:numCache>
                <c:formatCode>0.000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74464"/>
        <c:axId val="109626112"/>
      </c:scatterChart>
      <c:valAx>
        <c:axId val="10017446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626112"/>
        <c:crosses val="autoZero"/>
        <c:crossBetween val="midCat"/>
      </c:valAx>
      <c:valAx>
        <c:axId val="109626112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74464"/>
        <c:crosses val="autoZero"/>
        <c:crossBetween val="midCat"/>
        <c:majorUnit val="0.5"/>
        <c:minorUnit val="0.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050940462557808"/>
          <c:y val="9.9078341013824886E-2"/>
          <c:w val="0.24209094664163691"/>
          <c:h val="0.334101382488479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11</xdr:col>
      <xdr:colOff>114300</xdr:colOff>
      <xdr:row>24</xdr:row>
      <xdr:rowOff>152400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0.23346</cdr:x>
      <cdr:y>0.54641</cdr:y>
    </cdr:from>
    <cdr:to>
      <cdr:x>0.29658</cdr:x>
      <cdr:y>0.61529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22049" y="2267148"/>
          <a:ext cx="437693" cy="2853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Day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3"/>
  <sheetViews>
    <sheetView tabSelected="1" topLeftCell="A4" zoomScale="70" workbookViewId="0">
      <selection activeCell="D4" sqref="D4"/>
    </sheetView>
  </sheetViews>
  <sheetFormatPr defaultRowHeight="12.75" x14ac:dyDescent="0.2"/>
  <cols>
    <col min="1" max="1" width="25.28515625" customWidth="1"/>
    <col min="2" max="2" width="18.140625" bestFit="1" customWidth="1"/>
    <col min="3" max="3" width="20.140625" bestFit="1" customWidth="1"/>
    <col min="4" max="4" width="21.85546875" bestFit="1" customWidth="1"/>
    <col min="6" max="6" width="20.28515625" customWidth="1"/>
    <col min="7" max="7" width="19.28515625" customWidth="1"/>
    <col min="8" max="8" width="21.28515625" customWidth="1"/>
    <col min="10" max="11" width="11.5703125" bestFit="1" customWidth="1"/>
  </cols>
  <sheetData>
    <row r="1" spans="1:4" ht="16.5" thickTop="1" x14ac:dyDescent="0.25">
      <c r="A1" s="25"/>
      <c r="B1" s="26" t="s">
        <v>0</v>
      </c>
      <c r="C1" s="26" t="s">
        <v>1</v>
      </c>
      <c r="D1" s="27" t="s">
        <v>2</v>
      </c>
    </row>
    <row r="2" spans="1:4" ht="16.5" thickBot="1" x14ac:dyDescent="0.3">
      <c r="A2" s="28" t="s">
        <v>6</v>
      </c>
      <c r="B2" s="29">
        <v>23</v>
      </c>
      <c r="C2" s="29">
        <v>28</v>
      </c>
      <c r="D2" s="30">
        <v>33</v>
      </c>
    </row>
    <row r="3" spans="1:4" ht="13.5" thickTop="1" x14ac:dyDescent="0.2">
      <c r="A3" s="31">
        <v>0</v>
      </c>
      <c r="B3" s="32">
        <f t="shared" ref="B3:B26" si="0">SIN(A3*(2*PI()/B$2))</f>
        <v>0</v>
      </c>
      <c r="C3" s="33">
        <f t="shared" ref="C3:C31" si="1">SIN(A3*(2*PI()/C$2))</f>
        <v>0</v>
      </c>
      <c r="D3" s="34">
        <f t="shared" ref="D3:D36" si="2">SIN(A3*(2*PI()/D$2))</f>
        <v>0</v>
      </c>
    </row>
    <row r="4" spans="1:4" x14ac:dyDescent="0.2">
      <c r="A4" s="35">
        <f>A3+1</f>
        <v>1</v>
      </c>
      <c r="B4" s="36">
        <f t="shared" si="0"/>
        <v>0.26979677115702427</v>
      </c>
      <c r="C4" s="37">
        <f t="shared" si="1"/>
        <v>0.22252093395631439</v>
      </c>
      <c r="D4" s="38">
        <f t="shared" si="2"/>
        <v>0.18925124436041019</v>
      </c>
    </row>
    <row r="5" spans="1:4" x14ac:dyDescent="0.2">
      <c r="A5" s="35">
        <f t="shared" ref="A5:A36" si="3">A4+1</f>
        <v>2</v>
      </c>
      <c r="B5" s="36">
        <f t="shared" si="0"/>
        <v>0.51958395003543356</v>
      </c>
      <c r="C5" s="37">
        <f t="shared" si="1"/>
        <v>0.43388373911755812</v>
      </c>
      <c r="D5" s="38">
        <f t="shared" si="2"/>
        <v>0.37166245566032752</v>
      </c>
    </row>
    <row r="6" spans="1:4" x14ac:dyDescent="0.2">
      <c r="A6" s="35">
        <f t="shared" si="3"/>
        <v>3</v>
      </c>
      <c r="B6" s="36">
        <f t="shared" si="0"/>
        <v>0.73083596427812403</v>
      </c>
      <c r="C6" s="37">
        <f t="shared" si="1"/>
        <v>0.62348980185873348</v>
      </c>
      <c r="D6" s="38">
        <f t="shared" si="2"/>
        <v>0.54064081745559756</v>
      </c>
    </row>
    <row r="7" spans="1:4" x14ac:dyDescent="0.2">
      <c r="A7" s="35">
        <f t="shared" si="3"/>
        <v>4</v>
      </c>
      <c r="B7" s="36">
        <f t="shared" si="0"/>
        <v>0.88788521840237522</v>
      </c>
      <c r="C7" s="37">
        <f t="shared" si="1"/>
        <v>0.7818314824680298</v>
      </c>
      <c r="D7" s="38">
        <f t="shared" si="2"/>
        <v>0.69007901148211193</v>
      </c>
    </row>
    <row r="8" spans="1:4" x14ac:dyDescent="0.2">
      <c r="A8" s="35">
        <f t="shared" si="3"/>
        <v>5</v>
      </c>
      <c r="B8" s="36">
        <f t="shared" si="0"/>
        <v>0.9790840876823228</v>
      </c>
      <c r="C8" s="37">
        <f t="shared" si="1"/>
        <v>0.90096886790241915</v>
      </c>
      <c r="D8" s="38">
        <f t="shared" si="2"/>
        <v>0.81457595205033562</v>
      </c>
    </row>
    <row r="9" spans="1:4" x14ac:dyDescent="0.2">
      <c r="A9" s="35">
        <f t="shared" si="3"/>
        <v>6</v>
      </c>
      <c r="B9" s="36">
        <f t="shared" si="0"/>
        <v>0.99766876919053915</v>
      </c>
      <c r="C9" s="37">
        <f t="shared" si="1"/>
        <v>0.97492791218182362</v>
      </c>
      <c r="D9" s="38">
        <f t="shared" si="2"/>
        <v>0.90963199535451833</v>
      </c>
    </row>
    <row r="10" spans="1:4" x14ac:dyDescent="0.2">
      <c r="A10" s="35">
        <f t="shared" si="3"/>
        <v>7</v>
      </c>
      <c r="B10" s="36">
        <f t="shared" si="0"/>
        <v>0.94226092211882051</v>
      </c>
      <c r="C10" s="37">
        <f t="shared" si="1"/>
        <v>1</v>
      </c>
      <c r="D10" s="38">
        <f t="shared" si="2"/>
        <v>0.97181156832354165</v>
      </c>
    </row>
    <row r="11" spans="1:4" x14ac:dyDescent="0.2">
      <c r="A11" s="35">
        <f t="shared" si="3"/>
        <v>8</v>
      </c>
      <c r="B11" s="36">
        <f t="shared" si="0"/>
        <v>0.81696989301044209</v>
      </c>
      <c r="C11" s="37">
        <f t="shared" si="1"/>
        <v>0.97492791218182362</v>
      </c>
      <c r="D11" s="38">
        <f t="shared" si="2"/>
        <v>0.99886733918300796</v>
      </c>
    </row>
    <row r="12" spans="1:4" x14ac:dyDescent="0.2">
      <c r="A12" s="35">
        <f t="shared" si="3"/>
        <v>9</v>
      </c>
      <c r="B12" s="36">
        <f t="shared" si="0"/>
        <v>0.63108794432605297</v>
      </c>
      <c r="C12" s="37">
        <f t="shared" si="1"/>
        <v>0.90096886790241915</v>
      </c>
      <c r="D12" s="38">
        <f t="shared" si="2"/>
        <v>0.9898214418809328</v>
      </c>
    </row>
    <row r="13" spans="1:4" x14ac:dyDescent="0.2">
      <c r="A13" s="35">
        <f t="shared" si="3"/>
        <v>10</v>
      </c>
      <c r="B13" s="36">
        <f t="shared" si="0"/>
        <v>0.39840108984624178</v>
      </c>
      <c r="C13" s="37">
        <f t="shared" si="1"/>
        <v>0.78183148246802991</v>
      </c>
      <c r="D13" s="38">
        <f t="shared" si="2"/>
        <v>0.94500081871466857</v>
      </c>
    </row>
    <row r="14" spans="1:4" x14ac:dyDescent="0.2">
      <c r="A14" s="35">
        <f t="shared" si="3"/>
        <v>11</v>
      </c>
      <c r="B14" s="36">
        <f t="shared" si="0"/>
        <v>0.13616664909624665</v>
      </c>
      <c r="C14" s="37">
        <f t="shared" si="1"/>
        <v>0.62348980185873359</v>
      </c>
      <c r="D14" s="38">
        <f t="shared" si="2"/>
        <v>0.86602540378443871</v>
      </c>
    </row>
    <row r="15" spans="1:4" x14ac:dyDescent="0.2">
      <c r="A15" s="35">
        <f t="shared" si="3"/>
        <v>12</v>
      </c>
      <c r="B15" s="36">
        <f t="shared" si="0"/>
        <v>-0.1361666490962464</v>
      </c>
      <c r="C15" s="37">
        <f t="shared" si="1"/>
        <v>0.43388373911755823</v>
      </c>
      <c r="D15" s="38">
        <f t="shared" si="2"/>
        <v>0.75574957435425827</v>
      </c>
    </row>
    <row r="16" spans="1:4" x14ac:dyDescent="0.2">
      <c r="A16" s="35">
        <f t="shared" si="3"/>
        <v>13</v>
      </c>
      <c r="B16" s="36">
        <f t="shared" si="0"/>
        <v>-0.39840108984624117</v>
      </c>
      <c r="C16" s="37">
        <f t="shared" si="1"/>
        <v>0.2225209339563145</v>
      </c>
      <c r="D16" s="38">
        <f t="shared" si="2"/>
        <v>0.6181589862206055</v>
      </c>
    </row>
    <row r="17" spans="1:8" x14ac:dyDescent="0.2">
      <c r="A17" s="35">
        <f t="shared" si="3"/>
        <v>14</v>
      </c>
      <c r="B17" s="36">
        <f t="shared" si="0"/>
        <v>-0.63108794432605275</v>
      </c>
      <c r="C17" s="37">
        <f t="shared" si="1"/>
        <v>1.22514845490862E-16</v>
      </c>
      <c r="D17" s="38">
        <f t="shared" si="2"/>
        <v>0.45822652172741052</v>
      </c>
    </row>
    <row r="18" spans="1:8" x14ac:dyDescent="0.2">
      <c r="A18" s="35">
        <f t="shared" si="3"/>
        <v>15</v>
      </c>
      <c r="B18" s="36">
        <f t="shared" si="0"/>
        <v>-0.81696989301044198</v>
      </c>
      <c r="C18" s="37">
        <f t="shared" si="1"/>
        <v>-0.22252093395631428</v>
      </c>
      <c r="D18" s="38">
        <f t="shared" si="2"/>
        <v>0.28173255684143006</v>
      </c>
    </row>
    <row r="19" spans="1:8" x14ac:dyDescent="0.2">
      <c r="A19" s="35">
        <f t="shared" si="3"/>
        <v>16</v>
      </c>
      <c r="B19" s="36">
        <f t="shared" si="0"/>
        <v>-0.9422609221188204</v>
      </c>
      <c r="C19" s="37">
        <f t="shared" si="1"/>
        <v>-0.43388373911755801</v>
      </c>
      <c r="D19" s="38">
        <f t="shared" si="2"/>
        <v>9.505604330418288E-2</v>
      </c>
    </row>
    <row r="20" spans="1:8" x14ac:dyDescent="0.2">
      <c r="A20" s="35">
        <f t="shared" si="3"/>
        <v>17</v>
      </c>
      <c r="B20" s="36">
        <f t="shared" si="0"/>
        <v>-0.99766876919053915</v>
      </c>
      <c r="C20" s="37">
        <f t="shared" si="1"/>
        <v>-0.62348980185873337</v>
      </c>
      <c r="D20" s="38">
        <f t="shared" si="2"/>
        <v>-9.505604330418263E-2</v>
      </c>
    </row>
    <row r="21" spans="1:8" x14ac:dyDescent="0.2">
      <c r="A21" s="35">
        <f t="shared" si="3"/>
        <v>18</v>
      </c>
      <c r="B21" s="36">
        <f t="shared" si="0"/>
        <v>-0.97908408768232302</v>
      </c>
      <c r="C21" s="37">
        <f t="shared" si="1"/>
        <v>-0.78183148246802969</v>
      </c>
      <c r="D21" s="38">
        <f t="shared" si="2"/>
        <v>-0.28173255684142939</v>
      </c>
    </row>
    <row r="22" spans="1:8" x14ac:dyDescent="0.2">
      <c r="A22" s="35">
        <f t="shared" si="3"/>
        <v>19</v>
      </c>
      <c r="B22" s="36">
        <f t="shared" si="0"/>
        <v>-0.88788521840237555</v>
      </c>
      <c r="C22" s="37">
        <f t="shared" si="1"/>
        <v>-0.90096886790241903</v>
      </c>
      <c r="D22" s="38">
        <f t="shared" si="2"/>
        <v>-0.4582265217274103</v>
      </c>
    </row>
    <row r="23" spans="1:8" x14ac:dyDescent="0.2">
      <c r="A23" s="35">
        <f t="shared" si="3"/>
        <v>20</v>
      </c>
      <c r="B23" s="36">
        <f t="shared" si="0"/>
        <v>-0.73083596427812458</v>
      </c>
      <c r="C23" s="37">
        <f t="shared" si="1"/>
        <v>-0.97492791218182362</v>
      </c>
      <c r="D23" s="38">
        <f t="shared" si="2"/>
        <v>-0.61815898622060494</v>
      </c>
    </row>
    <row r="24" spans="1:8" x14ac:dyDescent="0.2">
      <c r="A24" s="35">
        <f t="shared" si="3"/>
        <v>21</v>
      </c>
      <c r="B24" s="36">
        <f t="shared" si="0"/>
        <v>-0.51958395003543356</v>
      </c>
      <c r="C24" s="37">
        <f t="shared" si="1"/>
        <v>-1</v>
      </c>
      <c r="D24" s="38">
        <f t="shared" si="2"/>
        <v>-0.75574957435425816</v>
      </c>
    </row>
    <row r="25" spans="1:8" x14ac:dyDescent="0.2">
      <c r="A25" s="35">
        <f t="shared" si="3"/>
        <v>22</v>
      </c>
      <c r="B25" s="36">
        <f t="shared" si="0"/>
        <v>-0.26979677115702438</v>
      </c>
      <c r="C25" s="37">
        <f t="shared" si="1"/>
        <v>-0.97492791218182362</v>
      </c>
      <c r="D25" s="38">
        <f t="shared" si="2"/>
        <v>-0.86602540378443837</v>
      </c>
    </row>
    <row r="26" spans="1:8" x14ac:dyDescent="0.2">
      <c r="A26" s="35">
        <f t="shared" si="3"/>
        <v>23</v>
      </c>
      <c r="B26" s="36">
        <f t="shared" si="0"/>
        <v>-2.45029690981724E-16</v>
      </c>
      <c r="C26" s="37">
        <f t="shared" si="1"/>
        <v>-0.90096886790241926</v>
      </c>
      <c r="D26" s="38">
        <f t="shared" si="2"/>
        <v>-0.94500081871466834</v>
      </c>
    </row>
    <row r="27" spans="1:8" ht="13.5" thickBot="1" x14ac:dyDescent="0.25">
      <c r="A27" s="35">
        <f t="shared" si="3"/>
        <v>24</v>
      </c>
      <c r="B27" s="35"/>
      <c r="C27" s="37">
        <f t="shared" si="1"/>
        <v>-0.78183148246802991</v>
      </c>
      <c r="D27" s="38">
        <f t="shared" si="2"/>
        <v>-0.98982144188093268</v>
      </c>
    </row>
    <row r="28" spans="1:8" ht="14.25" thickTop="1" thickBot="1" x14ac:dyDescent="0.25">
      <c r="A28" s="35">
        <f t="shared" si="3"/>
        <v>25</v>
      </c>
      <c r="B28" s="35"/>
      <c r="C28" s="37">
        <f t="shared" si="1"/>
        <v>-0.62348980185873371</v>
      </c>
      <c r="D28" s="38">
        <f t="shared" si="2"/>
        <v>-0.99886733918300796</v>
      </c>
      <c r="F28" s="41" t="s">
        <v>4</v>
      </c>
      <c r="G28" s="15"/>
      <c r="H28" s="16"/>
    </row>
    <row r="29" spans="1:8" ht="14.25" thickTop="1" thickBot="1" x14ac:dyDescent="0.25">
      <c r="A29" s="35">
        <f t="shared" si="3"/>
        <v>26</v>
      </c>
      <c r="B29" s="35"/>
      <c r="C29" s="37">
        <f t="shared" si="1"/>
        <v>-0.43388373911755834</v>
      </c>
      <c r="D29" s="38">
        <f t="shared" si="2"/>
        <v>-0.97181156832354187</v>
      </c>
      <c r="F29" s="41" t="s">
        <v>3</v>
      </c>
      <c r="G29" s="18"/>
      <c r="H29" s="17"/>
    </row>
    <row r="30" spans="1:8" ht="13.5" thickTop="1" x14ac:dyDescent="0.2">
      <c r="A30" s="35">
        <f t="shared" si="3"/>
        <v>27</v>
      </c>
      <c r="B30" s="35"/>
      <c r="C30" s="37">
        <f t="shared" si="1"/>
        <v>-0.22252093395631464</v>
      </c>
      <c r="D30" s="38">
        <f t="shared" si="2"/>
        <v>-0.90963199535451855</v>
      </c>
      <c r="F30" s="40" t="s">
        <v>5</v>
      </c>
      <c r="G30" s="45"/>
      <c r="H30" s="42" t="s">
        <v>8</v>
      </c>
    </row>
    <row r="31" spans="1:8" x14ac:dyDescent="0.2">
      <c r="A31" s="35">
        <f t="shared" si="3"/>
        <v>28</v>
      </c>
      <c r="B31" s="35"/>
      <c r="C31" s="37">
        <f t="shared" si="1"/>
        <v>-2.45029690981724E-16</v>
      </c>
      <c r="D31" s="38">
        <f t="shared" si="2"/>
        <v>-0.81457595205033584</v>
      </c>
      <c r="F31" s="23"/>
      <c r="G31" s="46"/>
      <c r="H31" s="43" t="s">
        <v>9</v>
      </c>
    </row>
    <row r="32" spans="1:8" x14ac:dyDescent="0.2">
      <c r="A32" s="35">
        <f t="shared" si="3"/>
        <v>29</v>
      </c>
      <c r="B32" s="35"/>
      <c r="C32" s="35"/>
      <c r="D32" s="38">
        <f t="shared" si="2"/>
        <v>-0.69007901148211204</v>
      </c>
      <c r="F32" s="23"/>
      <c r="G32" s="46"/>
      <c r="H32" s="43" t="s">
        <v>10</v>
      </c>
    </row>
    <row r="33" spans="1:8" x14ac:dyDescent="0.2">
      <c r="A33" s="35">
        <f t="shared" si="3"/>
        <v>30</v>
      </c>
      <c r="B33" s="35"/>
      <c r="C33" s="35"/>
      <c r="D33" s="38">
        <f t="shared" si="2"/>
        <v>-0.54064081745559822</v>
      </c>
      <c r="F33" s="23"/>
      <c r="G33" s="46"/>
      <c r="H33" s="43" t="s">
        <v>11</v>
      </c>
    </row>
    <row r="34" spans="1:8" x14ac:dyDescent="0.2">
      <c r="A34" s="35">
        <f t="shared" si="3"/>
        <v>31</v>
      </c>
      <c r="B34" s="35"/>
      <c r="C34" s="35"/>
      <c r="D34" s="38">
        <f t="shared" si="2"/>
        <v>-0.37166245566032807</v>
      </c>
      <c r="F34" s="23"/>
      <c r="G34" s="47"/>
      <c r="H34" s="43" t="s">
        <v>12</v>
      </c>
    </row>
    <row r="35" spans="1:8" ht="13.5" thickBot="1" x14ac:dyDescent="0.25">
      <c r="A35" s="35">
        <f t="shared" si="3"/>
        <v>32</v>
      </c>
      <c r="B35" s="35"/>
      <c r="C35" s="35"/>
      <c r="D35" s="38">
        <f t="shared" si="2"/>
        <v>-0.18925124436041063</v>
      </c>
      <c r="F35" s="24"/>
      <c r="G35" s="48"/>
      <c r="H35" s="44" t="s">
        <v>13</v>
      </c>
    </row>
    <row r="36" spans="1:8" ht="16.5" thickTop="1" thickBot="1" x14ac:dyDescent="0.25">
      <c r="A36" s="35">
        <f t="shared" si="3"/>
        <v>33</v>
      </c>
      <c r="B36" s="35"/>
      <c r="C36" s="35"/>
      <c r="D36" s="38">
        <f t="shared" si="2"/>
        <v>-2.45029690981724E-16</v>
      </c>
      <c r="F36" s="2"/>
      <c r="G36" s="1"/>
    </row>
    <row r="37" spans="1:8" ht="15.75" x14ac:dyDescent="0.25">
      <c r="A37" s="22" t="s">
        <v>7</v>
      </c>
      <c r="B37" s="4"/>
      <c r="C37" s="4"/>
      <c r="D37" s="4"/>
      <c r="F37" s="2"/>
      <c r="G37" s="8"/>
      <c r="H37" s="9"/>
    </row>
    <row r="38" spans="1:8" ht="15.75" x14ac:dyDescent="0.25">
      <c r="A38" s="39"/>
      <c r="B38" s="19"/>
      <c r="C38" s="7"/>
      <c r="D38" s="7"/>
      <c r="F38" s="2"/>
      <c r="G38" s="10"/>
      <c r="H38" s="11"/>
    </row>
    <row r="39" spans="1:8" ht="16.5" thickBot="1" x14ac:dyDescent="0.3">
      <c r="A39" s="39"/>
      <c r="B39" s="6"/>
      <c r="C39" s="20"/>
      <c r="D39" s="6"/>
      <c r="F39" s="2"/>
      <c r="G39" s="12"/>
      <c r="H39" s="13"/>
    </row>
    <row r="40" spans="1:8" ht="15.75" x14ac:dyDescent="0.25">
      <c r="A40" s="39"/>
      <c r="B40" s="6"/>
      <c r="C40" s="6"/>
      <c r="D40" s="21"/>
      <c r="F40" s="2"/>
      <c r="G40" s="1"/>
    </row>
    <row r="41" spans="1:8" ht="31.5" customHeight="1" x14ac:dyDescent="0.25">
      <c r="A41" s="5"/>
      <c r="B41" s="1"/>
      <c r="C41" s="1"/>
      <c r="D41" s="14"/>
      <c r="F41" s="2"/>
      <c r="G41" s="1"/>
    </row>
    <row r="42" spans="1:8" ht="15" x14ac:dyDescent="0.2">
      <c r="F42" s="2"/>
      <c r="G42" s="1"/>
    </row>
    <row r="43" spans="1:8" x14ac:dyDescent="0.2">
      <c r="G43" s="3"/>
    </row>
  </sheetData>
  <dataConsolidate/>
  <phoneticPr fontId="3" type="noConversion"/>
  <conditionalFormatting sqref="G36:G42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5" right="0.75" top="1" bottom="1" header="0.5" footer="0.5"/>
  <pageSetup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Biorhythyms</vt:lpstr>
    </vt:vector>
  </TitlesOfParts>
  <Company>PTOS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Dennis J Roebuck</cp:lastModifiedBy>
  <dcterms:created xsi:type="dcterms:W3CDTF">2004-09-25T04:32:23Z</dcterms:created>
  <dcterms:modified xsi:type="dcterms:W3CDTF">2012-07-16T14:28:52Z</dcterms:modified>
</cp:coreProperties>
</file>